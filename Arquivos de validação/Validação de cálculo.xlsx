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oogleDrive\HD-Antigo\Documentos\ProjetosDigitais\Projetos\Python\PyInvest - Simulador Financeiro\Arquivos de validação\"/>
    </mc:Choice>
  </mc:AlternateContent>
  <xr:revisionPtr revIDLastSave="0" documentId="13_ncr:1_{9E4535F6-95EA-4FF9-928A-3CC2288C7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erminís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0" i="1"/>
  <c r="B14" i="1"/>
  <c r="B13" i="1"/>
  <c r="B8" i="1"/>
  <c r="D4" i="1"/>
  <c r="B6" i="1" s="1"/>
  <c r="D2" i="1"/>
  <c r="D3" i="1"/>
  <c r="B7" i="1" s="1"/>
  <c r="B9" i="1" l="1"/>
  <c r="B15" i="1" l="1"/>
</calcChain>
</file>

<file path=xl/sharedStrings.xml><?xml version="1.0" encoding="utf-8"?>
<sst xmlns="http://schemas.openxmlformats.org/spreadsheetml/2006/main" count="27" uniqueCount="21">
  <si>
    <t>Anos</t>
  </si>
  <si>
    <t>Capital inical (R$)</t>
  </si>
  <si>
    <t>Aporte mensal (R$)</t>
  </si>
  <si>
    <t>Rentabilidade Anual  (%)</t>
  </si>
  <si>
    <t>ou</t>
  </si>
  <si>
    <t>ao mês</t>
  </si>
  <si>
    <t>ao ano</t>
  </si>
  <si>
    <t xml:space="preserve">ou </t>
  </si>
  <si>
    <t>meses</t>
  </si>
  <si>
    <t>Capital + Aportes</t>
  </si>
  <si>
    <t>Montante devido ao Capital</t>
  </si>
  <si>
    <t>Montante devido aos Aportes</t>
  </si>
  <si>
    <t>VALIDO</t>
  </si>
  <si>
    <t>Velocidade Atual</t>
  </si>
  <si>
    <t>Potência do Aporte</t>
  </si>
  <si>
    <t>Eficiência do Capital</t>
  </si>
  <si>
    <t>Sensibilidade à taxa</t>
  </si>
  <si>
    <t>x</t>
  </si>
  <si>
    <t>Montente Total M(i)</t>
  </si>
  <si>
    <t>Montente Total M(i+0,01)</t>
  </si>
  <si>
    <t>VALIDADDO - COM RESALVA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</si>
</sst>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DACE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right"/>
    </xf>
    <xf numFmtId="44" fontId="0" fillId="0" borderId="0" xfId="1" applyFont="1"/>
    <xf numFmtId="10" fontId="0" fillId="0" borderId="0" xfId="2" applyNumberFormat="1" applyFont="1"/>
    <xf numFmtId="44" fontId="0" fillId="0" borderId="0" xfId="0" applyNumberFormat="1"/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44" fontId="2" fillId="2" borderId="0" xfId="0" applyNumberFormat="1" applyFont="1" applyFill="1"/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0" fillId="4" borderId="0" xfId="0" applyFill="1"/>
    <xf numFmtId="0" fontId="2" fillId="5" borderId="0" xfId="0" applyFont="1" applyFill="1" applyAlignment="1">
      <alignment horizontal="right"/>
    </xf>
    <xf numFmtId="0" fontId="0" fillId="5" borderId="0" xfId="0" applyFill="1"/>
    <xf numFmtId="0" fontId="5" fillId="6" borderId="0" xfId="0" applyFont="1" applyFill="1" applyAlignment="1">
      <alignment horizontal="right"/>
    </xf>
    <xf numFmtId="0" fontId="6" fillId="6" borderId="0" xfId="0" applyFont="1" applyFill="1"/>
    <xf numFmtId="44" fontId="0" fillId="3" borderId="0" xfId="0" applyNumberFormat="1" applyFill="1"/>
    <xf numFmtId="43" fontId="0" fillId="4" borderId="0" xfId="3" applyFont="1" applyFill="1"/>
    <xf numFmtId="43" fontId="0" fillId="5" borderId="0" xfId="3" applyFont="1" applyFill="1"/>
    <xf numFmtId="0" fontId="3" fillId="7" borderId="0" xfId="0" applyFont="1" applyFill="1" applyAlignment="1">
      <alignment horizontal="right"/>
    </xf>
    <xf numFmtId="44" fontId="3" fillId="7" borderId="0" xfId="0" applyNumberFormat="1" applyFont="1" applyFill="1"/>
    <xf numFmtId="44" fontId="6" fillId="6" borderId="0" xfId="0" applyNumberFormat="1" applyFont="1" applyFill="1"/>
    <xf numFmtId="0" fontId="7" fillId="0" borderId="0" xfId="0" applyFont="1"/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colors>
    <mruColors>
      <color rgb="FFCD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G11" sqref="G11"/>
    </sheetView>
  </sheetViews>
  <sheetFormatPr defaultRowHeight="14.4" x14ac:dyDescent="0.3"/>
  <cols>
    <col min="1" max="1" width="25.77734375" style="1" bestFit="1" customWidth="1"/>
    <col min="2" max="2" width="16.6640625" bestFit="1" customWidth="1"/>
    <col min="4" max="4" width="15.5546875" bestFit="1" customWidth="1"/>
  </cols>
  <sheetData>
    <row r="1" spans="1:5" x14ac:dyDescent="0.3">
      <c r="A1" s="1" t="s">
        <v>1</v>
      </c>
      <c r="B1" s="2">
        <v>1400000</v>
      </c>
    </row>
    <row r="2" spans="1:5" x14ac:dyDescent="0.3">
      <c r="A2" s="1" t="s">
        <v>2</v>
      </c>
      <c r="B2" s="2">
        <v>4500</v>
      </c>
      <c r="C2" t="s">
        <v>4</v>
      </c>
      <c r="D2" s="4">
        <f>B2*12</f>
        <v>54000</v>
      </c>
      <c r="E2" t="s">
        <v>6</v>
      </c>
    </row>
    <row r="3" spans="1:5" x14ac:dyDescent="0.3">
      <c r="A3" s="1" t="s">
        <v>3</v>
      </c>
      <c r="B3">
        <v>15</v>
      </c>
      <c r="C3" t="s">
        <v>4</v>
      </c>
      <c r="D3" s="3">
        <f>(1+B3/100)^(1/12)-1</f>
        <v>1.171491691985338E-2</v>
      </c>
      <c r="E3" t="s">
        <v>5</v>
      </c>
    </row>
    <row r="4" spans="1:5" x14ac:dyDescent="0.3">
      <c r="A4" s="1" t="s">
        <v>0</v>
      </c>
      <c r="B4">
        <v>10</v>
      </c>
      <c r="C4" t="s">
        <v>7</v>
      </c>
      <c r="D4">
        <f>B4*12</f>
        <v>120</v>
      </c>
      <c r="E4" t="s">
        <v>8</v>
      </c>
    </row>
    <row r="6" spans="1:5" x14ac:dyDescent="0.3">
      <c r="A6" s="5" t="s">
        <v>9</v>
      </c>
      <c r="B6" s="7">
        <f>B1+B2*D4</f>
        <v>1940000</v>
      </c>
    </row>
    <row r="7" spans="1:5" x14ac:dyDescent="0.3">
      <c r="A7" s="6" t="s">
        <v>10</v>
      </c>
      <c r="B7" s="4">
        <f>B1*(1+D3)^D4</f>
        <v>5663780.8299911451</v>
      </c>
    </row>
    <row r="8" spans="1:5" x14ac:dyDescent="0.3">
      <c r="A8" s="6" t="s">
        <v>11</v>
      </c>
      <c r="B8" s="4">
        <f>B2*((1+D3)^D4-1)/D3</f>
        <v>1169876.8249444275</v>
      </c>
    </row>
    <row r="9" spans="1:5" x14ac:dyDescent="0.3">
      <c r="A9" s="5" t="s">
        <v>18</v>
      </c>
      <c r="B9" s="7">
        <f>SUM(B7:B8)</f>
        <v>6833657.6549355723</v>
      </c>
      <c r="C9" s="8" t="s">
        <v>12</v>
      </c>
    </row>
    <row r="10" spans="1:5" x14ac:dyDescent="0.3">
      <c r="A10" s="19" t="s">
        <v>19</v>
      </c>
      <c r="B10" s="20">
        <f>B1*(1+(B3/100+0.01))^B4+D2*((1+(B3/100+0.01))^(B4)-1)/((B3/100)+0.01)</f>
        <v>7327368.4491542261</v>
      </c>
    </row>
    <row r="12" spans="1:5" x14ac:dyDescent="0.3">
      <c r="A12" s="9" t="s">
        <v>13</v>
      </c>
      <c r="B12" s="16">
        <f>B9*(B3/100)</f>
        <v>1025048.6482403358</v>
      </c>
      <c r="C12" s="16" t="s">
        <v>6</v>
      </c>
      <c r="D12" s="22" t="s">
        <v>20</v>
      </c>
    </row>
    <row r="13" spans="1:5" x14ac:dyDescent="0.3">
      <c r="A13" s="10" t="s">
        <v>14</v>
      </c>
      <c r="B13" s="17">
        <f>((1+(B3/100))^(B4)-1)/(B3/100)</f>
        <v>20.303718238052713</v>
      </c>
      <c r="C13" s="11" t="s">
        <v>17</v>
      </c>
      <c r="D13" s="8" t="s">
        <v>12</v>
      </c>
    </row>
    <row r="14" spans="1:5" x14ac:dyDescent="0.3">
      <c r="A14" s="12" t="s">
        <v>15</v>
      </c>
      <c r="B14" s="18">
        <f>(1+(B3/100))^(B4)</f>
        <v>4.0455577357079067</v>
      </c>
      <c r="C14" s="13" t="s">
        <v>17</v>
      </c>
      <c r="D14" s="8" t="s">
        <v>12</v>
      </c>
    </row>
    <row r="15" spans="1:5" x14ac:dyDescent="0.3">
      <c r="A15" s="14" t="s">
        <v>16</v>
      </c>
      <c r="B15" s="21">
        <f>B10-B9</f>
        <v>493710.79421865381</v>
      </c>
      <c r="C15" s="15"/>
      <c r="D15" s="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Determinística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ERASMO GUSMAO</dc:creator>
  <cp:lastModifiedBy>Erasmo Melo Gusmao</cp:lastModifiedBy>
  <dcterms:created xsi:type="dcterms:W3CDTF">2015-06-05T18:19:34Z</dcterms:created>
  <dcterms:modified xsi:type="dcterms:W3CDTF">2025-12-24T12:38:27Z</dcterms:modified>
</cp:coreProperties>
</file>